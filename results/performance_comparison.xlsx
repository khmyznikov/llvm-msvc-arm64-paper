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Overview Chart" sheetId="2" state="visible" r:id="rId2"/>
    <sheet name="LLVM Advantage %" sheetId="3" state="visible" r:id="rId3"/>
    <sheet name="LAME MP3" sheetId="4" state="visible" r:id="rId4"/>
    <sheet name="x264" sheetId="5" state="visible" r:id="rId5"/>
    <sheet name="NumPy" sheetId="6" state="visible" r:id="rId6"/>
    <sheet name="CPython - Snapdragon 8cx Gen 3" sheetId="7" state="visible" r:id="rId7"/>
    <sheet name="CPython - Surface Laptop 15 (X" sheetId="8" state="visible" r:id="rId8"/>
    <sheet name="CPython Geo-Mean" sheetId="9" state="visible" r:id="rId9"/>
    <sheet name="Speedup Rati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LAME MP3 — Throughput (encodes/s)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Chart'!B1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1"/>
            <spPr>
              <a:solidFill>
                <a:srgbClr val="ED7D31"/>
              </a:solidFill>
              <a:ln>
                <a:prstDash val="solid"/>
              </a:ln>
            </spPr>
          </dPt>
          <dPt>
            <idx val="2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3"/>
            <spPr>
              <a:solidFill>
                <a:srgbClr val="ED7D31"/>
              </a:solidFill>
              <a:ln>
                <a:prstDash val="solid"/>
              </a:ln>
            </spPr>
          </dPt>
          <dLbls>
            <numFmt formatCode="0.00"/>
            <showVal val="1"/>
          </dLbls>
          <cat>
            <numRef>
              <f>'Overview Chart'!$A$2:$A$5</f>
            </numRef>
          </cat>
          <val>
            <numRef>
              <f>'Overview Chart'!$B$2:$B$5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encodes/s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x264 — Encode FPS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Chart'!C1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1"/>
            <spPr>
              <a:solidFill>
                <a:srgbClr val="ED7D31"/>
              </a:solidFill>
              <a:ln>
                <a:prstDash val="solid"/>
              </a:ln>
            </spPr>
          </dPt>
          <dPt>
            <idx val="2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3"/>
            <spPr>
              <a:solidFill>
                <a:srgbClr val="ED7D31"/>
              </a:solidFill>
              <a:ln>
                <a:prstDash val="solid"/>
              </a:ln>
            </spPr>
          </dPt>
          <dLbls>
            <numFmt formatCode="0.00"/>
            <showVal val="1"/>
          </dLbls>
          <cat>
            <numRef>
              <f>'Overview Chart'!$A$2:$A$5</f>
            </numRef>
          </cat>
          <val>
            <numRef>
              <f>'Overview Chart'!$C$2:$C$5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NumPy sort — Throughput (sorts/s)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Chart'!D1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1"/>
            <spPr>
              <a:solidFill>
                <a:srgbClr val="ED7D31"/>
              </a:solidFill>
              <a:ln>
                <a:prstDash val="solid"/>
              </a:ln>
            </spPr>
          </dPt>
          <dPt>
            <idx val="2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3"/>
            <spPr>
              <a:solidFill>
                <a:srgbClr val="ED7D31"/>
              </a:solidFill>
              <a:ln>
                <a:prstDash val="solid"/>
              </a:ln>
            </spPr>
          </dPt>
          <dLbls>
            <numFmt formatCode="0.00"/>
            <showVal val="1"/>
          </dLbls>
          <cat>
            <numRef>
              <f>'Overview Chart'!$A$2:$A$5</f>
            </numRef>
          </cat>
          <val>
            <numRef>
              <f>'Overview Chart'!$D$2:$D$5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sorts/s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CPython pyperformance — 1/geo-mean (higher=better)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Chart'!E1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1"/>
            <spPr>
              <a:solidFill>
                <a:srgbClr val="ED7D31"/>
              </a:solidFill>
              <a:ln>
                <a:prstDash val="solid"/>
              </a:ln>
            </spPr>
          </dPt>
          <dPt>
            <idx val="2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3"/>
            <spPr>
              <a:solidFill>
                <a:srgbClr val="ED7D31"/>
              </a:solidFill>
              <a:ln>
                <a:prstDash val="solid"/>
              </a:ln>
            </spPr>
          </dPt>
          <dLbls>
            <numFmt formatCode="0.00"/>
            <showVal val="1"/>
          </dLbls>
          <cat>
            <numRef>
              <f>'Overview Chart'!$A$2:$A$5</f>
            </numRef>
          </cat>
          <val>
            <numRef>
              <f>'Overview Chart'!$E$2:$E$5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1/geo-mean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LLVM Advantage Over MSVC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'LLVM Advantage %'!B1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&quot;%&quot;"/>
            <showVal val="1"/>
          </dLbls>
          <cat>
            <numRef>
              <f>'LLVM Advantage %'!$A$2:$A$5</f>
            </numRef>
          </cat>
          <val>
            <numRef>
              <f>'LLVM Advantage %'!$B$2:$B$5</f>
            </numRef>
          </val>
        </ser>
        <ser>
          <idx val="1"/>
          <order val="1"/>
          <tx>
            <strRef>
              <f>'LLVM Advantage %'!C1</f>
            </strRef>
          </tx>
          <spPr>
            <a:solidFill>
              <a:srgbClr val="70AD47"/>
            </a:solidFill>
            <a:ln>
              <a:prstDash val="solid"/>
            </a:ln>
          </spPr>
          <dLbls>
            <numFmt formatCode="0.0&quot;%&quot;"/>
            <showVal val="1"/>
          </dLbls>
          <cat>
            <numRef>
              <f>'LLVM Advantage %'!$A$2:$A$5</f>
            </numRef>
          </cat>
          <val>
            <numRef>
              <f>'LLVM Advantage %'!$C$2:$C$5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LLVM faster by (%)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LAME MP3 Encode Time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'LAME MP3'!B1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'LAME MP3'!$A$2:$A$3</f>
            </numRef>
          </cat>
          <val>
            <numRef>
              <f>'LAME MP3'!$B$2:$B$3</f>
            </numRef>
          </val>
        </ser>
        <ser>
          <idx val="1"/>
          <order val="1"/>
          <tx>
            <strRef>
              <f>'LAME MP3'!C1</f>
            </strRef>
          </tx>
          <spPr>
            <a:solidFill>
              <a:srgbClr val="ED7D31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'LAME MP3'!$A$2:$A$3</f>
            </numRef>
          </cat>
          <val>
            <numRef>
              <f>'LAME MP3'!$C$2:$C$3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Time (seconds)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x264 Encode FPS (higher is better)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'x264'!B1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'x264'!$A$2:$A$3</f>
            </numRef>
          </cat>
          <val>
            <numRef>
              <f>'x264'!$B$2:$B$3</f>
            </numRef>
          </val>
        </ser>
        <ser>
          <idx val="1"/>
          <order val="1"/>
          <tx>
            <strRef>
              <f>'x264'!C1</f>
            </strRef>
          </tx>
          <spPr>
            <a:solidFill>
              <a:srgbClr val="ED7D31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'x264'!$A$2:$A$3</f>
            </numRef>
          </cat>
          <val>
            <numRef>
              <f>'x264'!$C$2:$C$3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Frames per second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NumPy Operations — LLVM vs MSVC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'NumPy'!C1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'NumPy'!$B$2:$B$7</f>
            </numRef>
          </cat>
          <val>
            <numRef>
              <f>'NumPy'!$C$2:$C$7</f>
            </numRef>
          </val>
        </ser>
        <ser>
          <idx val="1"/>
          <order val="1"/>
          <tx>
            <strRef>
              <f>'NumPy'!D1</f>
            </strRef>
          </tx>
          <spPr>
            <a:solidFill>
              <a:srgbClr val="ED7D31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'NumPy'!$B$2:$B$7</f>
            </numRef>
          </cat>
          <val>
            <numRef>
              <f>'NumPy'!$D$2:$D$7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Time (ms)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CPython pyperformance — Snapdragon 8cx Gen 3 (Volterra)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'CPython - Snapdragon 8cx Gen 3'!B1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'CPython - Snapdragon 8cx Gen 3'!$A$2:$A$17</f>
            </numRef>
          </cat>
          <val>
            <numRef>
              <f>'CPython - Snapdragon 8cx Gen 3'!$B$2:$B$17</f>
            </numRef>
          </val>
        </ser>
        <ser>
          <idx val="1"/>
          <order val="1"/>
          <tx>
            <strRef>
              <f>'CPython - Snapdragon 8cx Gen 3'!C1</f>
            </strRef>
          </tx>
          <spPr>
            <a:solidFill>
              <a:srgbClr val="ED7D31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'CPython - Snapdragon 8cx Gen 3'!$A$2:$A$17</f>
            </numRef>
          </cat>
          <val>
            <numRef>
              <f>'CPython - Snapdragon 8cx Gen 3'!$C$2:$C$17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Time (seconds)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CPython pyperformance — Surface Laptop 15 (X Plus)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'CPython - Surface Laptop 15 (X'!B1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'CPython - Surface Laptop 15 (X'!$A$2:$A$17</f>
            </numRef>
          </cat>
          <val>
            <numRef>
              <f>'CPython - Surface Laptop 15 (X'!$B$2:$B$17</f>
            </numRef>
          </val>
        </ser>
        <ser>
          <idx val="1"/>
          <order val="1"/>
          <tx>
            <strRef>
              <f>'CPython - Surface Laptop 15 (X'!C1</f>
            </strRef>
          </tx>
          <spPr>
            <a:solidFill>
              <a:srgbClr val="ED7D31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'CPython - Surface Laptop 15 (X'!$A$2:$A$17</f>
            </numRef>
          </cat>
          <val>
            <numRef>
              <f>'CPython - Surface Laptop 15 (X'!$C$2:$C$17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Time (seconds)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CPython pyperformance Geometric Mean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'CPython Geo-Mean'!B1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'CPython Geo-Mean'!$A$2:$A$3</f>
            </numRef>
          </cat>
          <val>
            <numRef>
              <f>'CPython Geo-Mean'!$B$2:$B$3</f>
            </numRef>
          </val>
        </ser>
        <ser>
          <idx val="1"/>
          <order val="1"/>
          <tx>
            <strRef>
              <f>'CPython Geo-Mean'!C1</f>
            </strRef>
          </tx>
          <spPr>
            <a:solidFill>
              <a:srgbClr val="ED7D31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'CPython Geo-Mean'!$A$2:$A$3</f>
            </numRef>
          </cat>
          <val>
            <numRef>
              <f>'CPython Geo-Mean'!$C$2:$C$3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Geometric mean time (s)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LLVM / MSVC Speedup Ratio (&gt;1 = LLVM faster)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'Speedup Ratio'!B1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0&quot;x&quot;"/>
            <showVal val="1"/>
          </dLbls>
          <cat>
            <numRef>
              <f>'Speedup Ratio'!$A$2:$A$5</f>
            </numRef>
          </cat>
          <val>
            <numRef>
              <f>'Speedup Ratio'!$B$2:$B$5</f>
            </numRef>
          </val>
        </ser>
        <ser>
          <idx val="1"/>
          <order val="1"/>
          <tx>
            <strRef>
              <f>'Speedup Ratio'!C1</f>
            </strRef>
          </tx>
          <spPr>
            <a:solidFill>
              <a:srgbClr val="70AD47"/>
            </a:solidFill>
            <a:ln>
              <a:prstDash val="solid"/>
            </a:ln>
          </spPr>
          <dLbls>
            <numFmt formatCode="0.00&quot;x&quot;"/>
            <showVal val="1"/>
          </dLbls>
          <cat>
            <numRef>
              <f>'Speedup Ratio'!$A$2:$A$5</f>
            </numRef>
          </cat>
          <val>
            <numRef>
              <f>'Speedup Ratio'!$C$2:$C$5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Speedup ratio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7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25</row>
      <rowOff>0</rowOff>
    </from>
    <ext cx="792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13</col>
      <colOff>0</colOff>
      <row>25</row>
      <rowOff>0</rowOff>
    </from>
    <ext cx="792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39" customWidth="1" min="3" max="3"/>
    <col width="39" customWidth="1" min="4" max="4"/>
    <col width="41" customWidth="1" min="5" max="5"/>
    <col width="34" customWidth="1" min="6" max="6"/>
    <col width="34" customWidth="1" min="7" max="7"/>
    <col width="36" customWidth="1" min="8" max="8"/>
  </cols>
  <sheetData>
    <row r="1">
      <c r="A1" s="1" t="inlineStr">
        <is>
          <t>Benchmark</t>
        </is>
      </c>
      <c r="B1" s="1" t="inlineStr">
        <is>
          <t>Metric</t>
        </is>
      </c>
      <c r="C1" s="1" t="inlineStr">
        <is>
          <t>Snapdragon 8cx Gen 3 (Volterra)
LLVM</t>
        </is>
      </c>
      <c r="D1" s="1" t="inlineStr">
        <is>
          <t>Snapdragon 8cx Gen 3 (Volterra)
MSVC</t>
        </is>
      </c>
      <c r="E1" s="1" t="inlineStr">
        <is>
          <t>Snapdragon 8cx Gen 3 (Volterra)
Δ LLVM</t>
        </is>
      </c>
      <c r="F1" s="1" t="inlineStr">
        <is>
          <t>Surface Laptop 15 (X Plus)
LLVM</t>
        </is>
      </c>
      <c r="G1" s="1" t="inlineStr">
        <is>
          <t>Surface Laptop 15 (X Plus)
MSVC</t>
        </is>
      </c>
      <c r="H1" s="1" t="inlineStr">
        <is>
          <t>Surface Laptop 15 (X Plus)
Δ LLVM</t>
        </is>
      </c>
    </row>
    <row r="2">
      <c r="A2" t="inlineStr">
        <is>
          <t>LAME MP3 encode</t>
        </is>
      </c>
      <c r="B2" t="inlineStr">
        <is>
          <t>Time (s)</t>
        </is>
      </c>
      <c r="C2" t="n">
        <v>0.8101</v>
      </c>
      <c r="D2" t="n">
        <v>1.1352</v>
      </c>
      <c r="E2" t="inlineStr">
        <is>
          <t>+28.6%</t>
        </is>
      </c>
      <c r="F2" t="n">
        <v>0.4017</v>
      </c>
      <c r="G2" t="n">
        <v>0.5762</v>
      </c>
      <c r="H2" t="inlineStr">
        <is>
          <t>+30.3%</t>
        </is>
      </c>
    </row>
    <row r="3">
      <c r="A3" t="inlineStr">
        <is>
          <t>x264 H.264 encode</t>
        </is>
      </c>
      <c r="B3" t="inlineStr">
        <is>
          <t>FPS</t>
        </is>
      </c>
      <c r="C3" t="n">
        <v>4.51</v>
      </c>
      <c r="D3" t="n">
        <v>3.48</v>
      </c>
      <c r="E3" t="inlineStr">
        <is>
          <t>+29.7%</t>
        </is>
      </c>
      <c r="F3" t="n">
        <v>9.84</v>
      </c>
      <c r="G3" t="n">
        <v>7.7</v>
      </c>
      <c r="H3" t="inlineStr">
        <is>
          <t>+27.7%</t>
        </is>
      </c>
    </row>
    <row r="4">
      <c r="A4" t="inlineStr">
        <is>
          <t>NumPy (sqrt, sort)</t>
        </is>
      </c>
      <c r="B4" t="inlineStr">
        <is>
          <t>Geo-mean (ms)</t>
        </is>
      </c>
      <c r="C4" t="n">
        <v>13.3992</v>
      </c>
      <c r="D4" t="n">
        <v>15.3968</v>
      </c>
      <c r="E4" t="inlineStr">
        <is>
          <t>+13.0%</t>
        </is>
      </c>
      <c r="F4" t="n">
        <v>7.4396</v>
      </c>
      <c r="G4" t="n">
        <v>13.0602</v>
      </c>
      <c r="H4" t="inlineStr">
        <is>
          <t>+43.0%</t>
        </is>
      </c>
    </row>
    <row r="5">
      <c r="A5" t="inlineStr">
        <is>
          <t>CPython pyperformance</t>
        </is>
      </c>
      <c r="B5" t="inlineStr">
        <is>
          <t>Geo-mean (s)</t>
        </is>
      </c>
      <c r="C5" t="n">
        <v>0.05937</v>
      </c>
      <c r="D5" t="n">
        <v>0.076072</v>
      </c>
      <c r="E5" t="inlineStr">
        <is>
          <t>+22.0%</t>
        </is>
      </c>
      <c r="F5" t="n">
        <v>0.032112</v>
      </c>
      <c r="G5" t="n">
        <v>0.048782</v>
      </c>
      <c r="H5" t="inlineStr">
        <is>
          <t>+34.2%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Configuration</t>
        </is>
      </c>
      <c r="B1" s="1" t="inlineStr">
        <is>
          <t>LAME MP3
(encodes/s)</t>
        </is>
      </c>
      <c r="C1" s="1" t="inlineStr">
        <is>
          <t>x264
(fps)</t>
        </is>
      </c>
      <c r="D1" s="1" t="inlineStr">
        <is>
          <t>NumPy sort
(1/time)</t>
        </is>
      </c>
      <c r="E1" s="1" t="inlineStr">
        <is>
          <t>CPython
(1/geo-mean)</t>
        </is>
      </c>
    </row>
    <row r="2">
      <c r="A2" t="inlineStr">
        <is>
          <t>Snapdragon 8cx Gen 3 (Volterra) — LLVM</t>
        </is>
      </c>
      <c r="B2" t="n">
        <v>1.234</v>
      </c>
      <c r="C2" t="n">
        <v>4.51</v>
      </c>
      <c r="D2" t="n">
        <v>23.44</v>
      </c>
      <c r="E2" t="n">
        <v>16.84</v>
      </c>
    </row>
    <row r="3">
      <c r="A3" t="inlineStr">
        <is>
          <t>Snapdragon 8cx Gen 3 (Volterra) — MSVC</t>
        </is>
      </c>
      <c r="B3" t="n">
        <v>0.881</v>
      </c>
      <c r="C3" t="n">
        <v>3.48</v>
      </c>
      <c r="D3" t="n">
        <v>12.38</v>
      </c>
      <c r="E3" t="n">
        <v>13.15</v>
      </c>
    </row>
    <row r="4">
      <c r="A4" t="inlineStr">
        <is>
          <t>Surface Laptop 15 (X Plus) — LLVM</t>
        </is>
      </c>
      <c r="B4" t="n">
        <v>2.489</v>
      </c>
      <c r="C4" t="n">
        <v>9.84</v>
      </c>
      <c r="D4" t="n">
        <v>38.77</v>
      </c>
      <c r="E4" t="n">
        <v>31.14</v>
      </c>
    </row>
    <row r="5">
      <c r="A5" t="inlineStr">
        <is>
          <t>Surface Laptop 15 (X Plus) — MSVC</t>
        </is>
      </c>
      <c r="B5" t="n">
        <v>1.735</v>
      </c>
      <c r="C5" t="n">
        <v>7.7</v>
      </c>
      <c r="D5" t="n">
        <v>15.63</v>
      </c>
      <c r="E5" t="n">
        <v>20.5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9" customWidth="1" min="3" max="3"/>
  </cols>
  <sheetData>
    <row r="1">
      <c r="A1" s="1" t="inlineStr">
        <is>
          <t>Benchmark</t>
        </is>
      </c>
      <c r="B1" s="1" t="inlineStr">
        <is>
          <t>Snapdragon 8cx Gen 3 (Volterra)</t>
        </is>
      </c>
      <c r="C1" s="1" t="inlineStr">
        <is>
          <t>Surface Laptop 15 (X Plus)</t>
        </is>
      </c>
    </row>
    <row r="2">
      <c r="A2" t="inlineStr">
        <is>
          <t>LAME MP3</t>
        </is>
      </c>
      <c r="B2" t="n">
        <v>28.6</v>
      </c>
      <c r="C2" t="n">
        <v>30.3</v>
      </c>
    </row>
    <row r="3">
      <c r="A3" t="inlineStr">
        <is>
          <t>x264</t>
        </is>
      </c>
      <c r="B3" t="n">
        <v>29.7</v>
      </c>
      <c r="C3" t="n">
        <v>27.7</v>
      </c>
    </row>
    <row r="4">
      <c r="A4" t="inlineStr">
        <is>
          <t>NumPy</t>
        </is>
      </c>
      <c r="B4" t="n">
        <v>13</v>
      </c>
      <c r="C4" t="n">
        <v>43</v>
      </c>
    </row>
    <row r="5">
      <c r="A5" t="inlineStr">
        <is>
          <t>CPython</t>
        </is>
      </c>
      <c r="B5" t="n">
        <v>22</v>
      </c>
      <c r="C5" t="n">
        <v>34.2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7" customWidth="1" min="4" max="4"/>
  </cols>
  <sheetData>
    <row r="1">
      <c r="A1" s="1" t="inlineStr">
        <is>
          <t>Machine</t>
        </is>
      </c>
      <c r="B1" s="1" t="inlineStr">
        <is>
          <t>LLVM (s)</t>
        </is>
      </c>
      <c r="C1" s="1" t="inlineStr">
        <is>
          <t>MSVC (s)</t>
        </is>
      </c>
      <c r="D1" s="1" t="inlineStr">
        <is>
          <t>LLVM Advantage</t>
        </is>
      </c>
    </row>
    <row r="2">
      <c r="A2" t="inlineStr">
        <is>
          <t>Snapdragon 8cx Gen 3 (Volterra)</t>
        </is>
      </c>
      <c r="B2" t="n">
        <v>0.8101</v>
      </c>
      <c r="C2" t="n">
        <v>1.1352</v>
      </c>
      <c r="D2" t="inlineStr">
        <is>
          <t>+28.6%</t>
        </is>
      </c>
    </row>
    <row r="3">
      <c r="A3" t="inlineStr">
        <is>
          <t>Surface Laptop 15 (X Plus)</t>
        </is>
      </c>
      <c r="B3" t="n">
        <v>0.4017</v>
      </c>
      <c r="C3" t="n">
        <v>0.5762</v>
      </c>
      <c r="D3" t="inlineStr">
        <is>
          <t>+30.3%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7" customWidth="1" min="4" max="4"/>
  </cols>
  <sheetData>
    <row r="1">
      <c r="A1" s="1" t="inlineStr">
        <is>
          <t>Machine</t>
        </is>
      </c>
      <c r="B1" s="1" t="inlineStr">
        <is>
          <t>LLVM (fps)</t>
        </is>
      </c>
      <c r="C1" s="1" t="inlineStr">
        <is>
          <t>MSVC (fps)</t>
        </is>
      </c>
      <c r="D1" s="1" t="inlineStr">
        <is>
          <t>LLVM Advantage</t>
        </is>
      </c>
    </row>
    <row r="2">
      <c r="A2" t="inlineStr">
        <is>
          <t>Snapdragon 8cx Gen 3 (Volterra)</t>
        </is>
      </c>
      <c r="B2" t="n">
        <v>4.51</v>
      </c>
      <c r="C2" t="n">
        <v>3.48</v>
      </c>
      <c r="D2" t="inlineStr">
        <is>
          <t>+29.7%</t>
        </is>
      </c>
    </row>
    <row r="3">
      <c r="A3" t="inlineStr">
        <is>
          <t>Surface Laptop 15 (X Plus)</t>
        </is>
      </c>
      <c r="B3" t="n">
        <v>9.84</v>
      </c>
      <c r="C3" t="n">
        <v>7.7</v>
      </c>
      <c r="D3" t="inlineStr">
        <is>
          <t>+27.7%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34" customWidth="1" min="1" max="1"/>
    <col width="17" customWidth="1" min="2" max="2"/>
    <col width="12" customWidth="1" min="3" max="3"/>
    <col width="12" customWidth="1" min="4" max="4"/>
    <col width="17" customWidth="1" min="5" max="5"/>
  </cols>
  <sheetData>
    <row r="1">
      <c r="A1" s="1" t="inlineStr">
        <is>
          <t>Machine</t>
        </is>
      </c>
      <c r="B1" s="1" t="inlineStr">
        <is>
          <t>Operation</t>
        </is>
      </c>
      <c r="C1" s="1" t="inlineStr">
        <is>
          <t>LLVM (ms)</t>
        </is>
      </c>
      <c r="D1" s="1" t="inlineStr">
        <is>
          <t>MSVC (ms)</t>
        </is>
      </c>
      <c r="E1" s="1" t="inlineStr">
        <is>
          <t>LLVM Advantage</t>
        </is>
      </c>
    </row>
    <row r="2">
      <c r="A2" t="inlineStr">
        <is>
          <t>Snapdragon 8cx Gen 3 (Volterra)</t>
        </is>
      </c>
      <c r="B2" t="inlineStr">
        <is>
          <t>sqrt</t>
        </is>
      </c>
      <c r="C2" t="n">
        <v>4.2088</v>
      </c>
      <c r="D2" t="n">
        <v>2.9355</v>
      </c>
      <c r="E2" t="inlineStr">
        <is>
          <t>-43.4%</t>
        </is>
      </c>
    </row>
    <row r="3">
      <c r="A3" t="inlineStr">
        <is>
          <t>Snapdragon 8cx Gen 3 (Volterra)</t>
        </is>
      </c>
      <c r="B3" t="inlineStr">
        <is>
          <t>sort</t>
        </is>
      </c>
      <c r="C3" t="n">
        <v>42.6579</v>
      </c>
      <c r="D3" t="n">
        <v>80.75539999999999</v>
      </c>
      <c r="E3" t="inlineStr">
        <is>
          <t>+47.2%</t>
        </is>
      </c>
    </row>
    <row r="4">
      <c r="A4" t="inlineStr">
        <is>
          <t>Snapdragon 8cx Gen 3 (Volterra)</t>
        </is>
      </c>
      <c r="B4" t="inlineStr">
        <is>
          <t>GEOMETRIC MEAN</t>
        </is>
      </c>
      <c r="C4" t="n">
        <v>13.3992</v>
      </c>
      <c r="D4" t="n">
        <v>15.3968</v>
      </c>
      <c r="E4" t="inlineStr">
        <is>
          <t>+13.0%</t>
        </is>
      </c>
    </row>
    <row r="5">
      <c r="A5" t="inlineStr">
        <is>
          <t>Surface Laptop 15 (X Plus)</t>
        </is>
      </c>
      <c r="B5" t="inlineStr">
        <is>
          <t>sqrt</t>
        </is>
      </c>
      <c r="C5" t="n">
        <v>2.146</v>
      </c>
      <c r="D5" t="n">
        <v>2.6668</v>
      </c>
      <c r="E5" t="inlineStr">
        <is>
          <t>+19.5%</t>
        </is>
      </c>
    </row>
    <row r="6">
      <c r="A6" t="inlineStr">
        <is>
          <t>Surface Laptop 15 (X Plus)</t>
        </is>
      </c>
      <c r="B6" t="inlineStr">
        <is>
          <t>sort</t>
        </is>
      </c>
      <c r="C6" t="n">
        <v>25.7914</v>
      </c>
      <c r="D6" t="n">
        <v>63.9603</v>
      </c>
      <c r="E6" t="inlineStr">
        <is>
          <t>+59.7%</t>
        </is>
      </c>
    </row>
    <row r="7">
      <c r="A7" t="inlineStr">
        <is>
          <t>Surface Laptop 15 (X Plus)</t>
        </is>
      </c>
      <c r="B7" t="inlineStr">
        <is>
          <t>GEOMETRIC MEAN</t>
        </is>
      </c>
      <c r="C7" t="n">
        <v>7.4396</v>
      </c>
      <c r="D7" t="n">
        <v>13.0602</v>
      </c>
      <c r="E7" t="inlineStr">
        <is>
          <t>+43.0%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23" customWidth="1" min="1" max="1"/>
    <col width="11" customWidth="1" min="2" max="2"/>
    <col width="11" customWidth="1" min="3" max="3"/>
    <col width="17" customWidth="1" min="4" max="4"/>
  </cols>
  <sheetData>
    <row r="1">
      <c r="A1" s="1" t="inlineStr">
        <is>
          <t>Benchmark</t>
        </is>
      </c>
      <c r="B1" s="1" t="inlineStr">
        <is>
          <t>LLVM (s)</t>
        </is>
      </c>
      <c r="C1" s="1" t="inlineStr">
        <is>
          <t>MSVC (s)</t>
        </is>
      </c>
      <c r="D1" s="1" t="inlineStr">
        <is>
          <t>LLVM Advantage</t>
        </is>
      </c>
    </row>
    <row r="2">
      <c r="A2" t="inlineStr">
        <is>
          <t>chaos</t>
        </is>
      </c>
      <c r="B2" t="n">
        <v>0.095346</v>
      </c>
      <c r="C2" t="n">
        <v>0.124772</v>
      </c>
      <c r="D2" t="inlineStr">
        <is>
          <t>+23.6%</t>
        </is>
      </c>
    </row>
    <row r="3">
      <c r="A3" t="inlineStr">
        <is>
          <t>crypto_pyaes</t>
        </is>
      </c>
      <c r="B3" t="n">
        <v>0.130121</v>
      </c>
      <c r="C3" t="n">
        <v>0.158947</v>
      </c>
      <c r="D3" t="inlineStr">
        <is>
          <t>+18.1%</t>
        </is>
      </c>
    </row>
    <row r="4">
      <c r="A4" t="inlineStr">
        <is>
          <t>deltablue</t>
        </is>
      </c>
      <c r="B4" t="n">
        <v>0.005373</v>
      </c>
      <c r="C4" t="n">
        <v>0.007628</v>
      </c>
      <c r="D4" t="inlineStr">
        <is>
          <t>+29.6%</t>
        </is>
      </c>
    </row>
    <row r="5">
      <c r="A5" t="inlineStr">
        <is>
          <t>fannkuch</t>
        </is>
      </c>
      <c r="B5" t="n">
        <v>0.663334</v>
      </c>
      <c r="C5" t="n">
        <v>0.797839</v>
      </c>
      <c r="D5" t="inlineStr">
        <is>
          <t>+16.9%</t>
        </is>
      </c>
    </row>
    <row r="6">
      <c r="A6" t="inlineStr">
        <is>
          <t>float</t>
        </is>
      </c>
      <c r="B6" t="n">
        <v>0.112637</v>
      </c>
      <c r="C6" t="n">
        <v>0.14388</v>
      </c>
      <c r="D6" t="inlineStr">
        <is>
          <t>+21.7%</t>
        </is>
      </c>
    </row>
    <row r="7">
      <c r="A7" t="inlineStr">
        <is>
          <t>go</t>
        </is>
      </c>
      <c r="B7" t="n">
        <v>0.169239</v>
      </c>
      <c r="C7" t="n">
        <v>0.238859</v>
      </c>
      <c r="D7" t="inlineStr">
        <is>
          <t>+29.1%</t>
        </is>
      </c>
    </row>
    <row r="8">
      <c r="A8" t="inlineStr">
        <is>
          <t>hexiom</t>
        </is>
      </c>
      <c r="B8" t="n">
        <v>0.009993</v>
      </c>
      <c r="C8" t="n">
        <v>0.013346</v>
      </c>
      <c r="D8" t="inlineStr">
        <is>
          <t>+25.1%</t>
        </is>
      </c>
    </row>
    <row r="9">
      <c r="A9" t="inlineStr">
        <is>
          <t>nbody</t>
        </is>
      </c>
      <c r="B9" t="n">
        <v>0.165362</v>
      </c>
      <c r="C9" t="n">
        <v>0.216421</v>
      </c>
      <c r="D9" t="inlineStr">
        <is>
          <t>+23.6%</t>
        </is>
      </c>
    </row>
    <row r="10">
      <c r="A10" t="inlineStr">
        <is>
          <t>pickle_pure_python</t>
        </is>
      </c>
      <c r="B10" t="n">
        <v>0.000563</v>
      </c>
      <c r="C10" t="n">
        <v>0.000771</v>
      </c>
      <c r="D10" t="inlineStr">
        <is>
          <t>+26.9%</t>
        </is>
      </c>
    </row>
    <row r="11">
      <c r="A11" t="inlineStr">
        <is>
          <t>pidigits</t>
        </is>
      </c>
      <c r="B11" t="n">
        <v>0.327896</v>
      </c>
      <c r="C11" t="n">
        <v>0.310823</v>
      </c>
      <c r="D11" t="inlineStr">
        <is>
          <t>-5.5%</t>
        </is>
      </c>
    </row>
    <row r="12">
      <c r="A12" t="inlineStr">
        <is>
          <t>pyflate</t>
        </is>
      </c>
      <c r="B12" t="n">
        <v>0.72216</v>
      </c>
      <c r="C12" t="n">
        <v>0.905057</v>
      </c>
      <c r="D12" t="inlineStr">
        <is>
          <t>+20.2%</t>
        </is>
      </c>
    </row>
    <row r="13">
      <c r="A13" t="inlineStr">
        <is>
          <t>raytrace</t>
        </is>
      </c>
      <c r="B13" t="n">
        <v>0.437276</v>
      </c>
      <c r="C13" t="n">
        <v>0.576114</v>
      </c>
      <c r="D13" t="inlineStr">
        <is>
          <t>+24.1%</t>
        </is>
      </c>
    </row>
    <row r="14">
      <c r="A14" t="inlineStr">
        <is>
          <t>richards</t>
        </is>
      </c>
      <c r="B14" t="n">
        <v>0.068816</v>
      </c>
      <c r="C14" t="n">
        <v>0.098366</v>
      </c>
      <c r="D14" t="inlineStr">
        <is>
          <t>+30.0%</t>
        </is>
      </c>
    </row>
    <row r="15">
      <c r="A15" t="inlineStr">
        <is>
          <t>spectral_norm</t>
        </is>
      </c>
      <c r="B15" t="n">
        <v>0.181833</v>
      </c>
      <c r="C15" t="n">
        <v>0.216284</v>
      </c>
      <c r="D15" t="inlineStr">
        <is>
          <t>+15.9%</t>
        </is>
      </c>
    </row>
    <row r="16">
      <c r="A16" t="inlineStr">
        <is>
          <t>unpickle_pure_python</t>
        </is>
      </c>
      <c r="B16" t="n">
        <v>0.000395</v>
      </c>
      <c r="C16" t="n">
        <v>0.000519</v>
      </c>
      <c r="D16" t="inlineStr">
        <is>
          <t>+24.0%</t>
        </is>
      </c>
    </row>
    <row r="17">
      <c r="A17" t="inlineStr">
        <is>
          <t>GEOMETRIC MEAN</t>
        </is>
      </c>
      <c r="B17" t="n">
        <v>0.05937</v>
      </c>
      <c r="C17" t="n">
        <v>0.076072</v>
      </c>
      <c r="D17" t="inlineStr">
        <is>
          <t>+22.0%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23" customWidth="1" min="1" max="1"/>
    <col width="11" customWidth="1" min="2" max="2"/>
    <col width="11" customWidth="1" min="3" max="3"/>
    <col width="17" customWidth="1" min="4" max="4"/>
  </cols>
  <sheetData>
    <row r="1">
      <c r="A1" s="1" t="inlineStr">
        <is>
          <t>Benchmark</t>
        </is>
      </c>
      <c r="B1" s="1" t="inlineStr">
        <is>
          <t>LLVM (s)</t>
        </is>
      </c>
      <c r="C1" s="1" t="inlineStr">
        <is>
          <t>MSVC (s)</t>
        </is>
      </c>
      <c r="D1" s="1" t="inlineStr">
        <is>
          <t>LLVM Advantage</t>
        </is>
      </c>
    </row>
    <row r="2">
      <c r="A2" t="inlineStr">
        <is>
          <t>chaos</t>
        </is>
      </c>
      <c r="B2" t="n">
        <v>0.048154</v>
      </c>
      <c r="C2" t="n">
        <v>0.08004</v>
      </c>
      <c r="D2" t="inlineStr">
        <is>
          <t>+39.8%</t>
        </is>
      </c>
    </row>
    <row r="3">
      <c r="A3" t="inlineStr">
        <is>
          <t>crypto_pyaes</t>
        </is>
      </c>
      <c r="B3" t="n">
        <v>0.063358</v>
      </c>
      <c r="C3" t="n">
        <v>0.097455</v>
      </c>
      <c r="D3" t="inlineStr">
        <is>
          <t>+35.0%</t>
        </is>
      </c>
    </row>
    <row r="4">
      <c r="A4" t="inlineStr">
        <is>
          <t>deltablue</t>
        </is>
      </c>
      <c r="B4" t="n">
        <v>0.003084</v>
      </c>
      <c r="C4" t="n">
        <v>0.005397</v>
      </c>
      <c r="D4" t="inlineStr">
        <is>
          <t>+42.9%</t>
        </is>
      </c>
    </row>
    <row r="5">
      <c r="A5" t="inlineStr">
        <is>
          <t>fannkuch</t>
        </is>
      </c>
      <c r="B5" t="n">
        <v>0.354055</v>
      </c>
      <c r="C5" t="n">
        <v>0.478173</v>
      </c>
      <c r="D5" t="inlineStr">
        <is>
          <t>+26.0%</t>
        </is>
      </c>
    </row>
    <row r="6">
      <c r="A6" t="inlineStr">
        <is>
          <t>float</t>
        </is>
      </c>
      <c r="B6" t="n">
        <v>0.063611</v>
      </c>
      <c r="C6" t="n">
        <v>0.09370299999999999</v>
      </c>
      <c r="D6" t="inlineStr">
        <is>
          <t>+32.1%</t>
        </is>
      </c>
    </row>
    <row r="7">
      <c r="A7" t="inlineStr">
        <is>
          <t>go</t>
        </is>
      </c>
      <c r="B7" t="n">
        <v>0.100693</v>
      </c>
      <c r="C7" t="n">
        <v>0.171437</v>
      </c>
      <c r="D7" t="inlineStr">
        <is>
          <t>+41.3%</t>
        </is>
      </c>
    </row>
    <row r="8">
      <c r="A8" t="inlineStr">
        <is>
          <t>hexiom</t>
        </is>
      </c>
      <c r="B8" t="n">
        <v>0.005527</v>
      </c>
      <c r="C8" t="n">
        <v>0.009055000000000001</v>
      </c>
      <c r="D8" t="inlineStr">
        <is>
          <t>+39.0%</t>
        </is>
      </c>
    </row>
    <row r="9">
      <c r="A9" t="inlineStr">
        <is>
          <t>nbody</t>
        </is>
      </c>
      <c r="B9" t="n">
        <v>0.09575699999999999</v>
      </c>
      <c r="C9" t="n">
        <v>0.131222</v>
      </c>
      <c r="D9" t="inlineStr">
        <is>
          <t>+27.0%</t>
        </is>
      </c>
    </row>
    <row r="10">
      <c r="A10" t="inlineStr">
        <is>
          <t>pickle_pure_python</t>
        </is>
      </c>
      <c r="B10" t="n">
        <v>0.000256</v>
      </c>
      <c r="C10" t="n">
        <v>0.00043</v>
      </c>
      <c r="D10" t="inlineStr">
        <is>
          <t>+40.6%</t>
        </is>
      </c>
    </row>
    <row r="11">
      <c r="A11" t="inlineStr">
        <is>
          <t>pidigits</t>
        </is>
      </c>
      <c r="B11" t="n">
        <v>0.249397</v>
      </c>
      <c r="C11" t="n">
        <v>0.20094</v>
      </c>
      <c r="D11" t="inlineStr">
        <is>
          <t>-24.1%</t>
        </is>
      </c>
    </row>
    <row r="12">
      <c r="A12" t="inlineStr">
        <is>
          <t>pyflate</t>
        </is>
      </c>
      <c r="B12" t="n">
        <v>0.391455</v>
      </c>
      <c r="C12" t="n">
        <v>0.581027</v>
      </c>
      <c r="D12" t="inlineStr">
        <is>
          <t>+32.6%</t>
        </is>
      </c>
    </row>
    <row r="13">
      <c r="A13" t="inlineStr">
        <is>
          <t>raytrace</t>
        </is>
      </c>
      <c r="B13" t="n">
        <v>0.214372</v>
      </c>
      <c r="C13" t="n">
        <v>0.354376</v>
      </c>
      <c r="D13" t="inlineStr">
        <is>
          <t>+39.5%</t>
        </is>
      </c>
    </row>
    <row r="14">
      <c r="A14" t="inlineStr">
        <is>
          <t>richards</t>
        </is>
      </c>
      <c r="B14" t="n">
        <v>0.040384</v>
      </c>
      <c r="C14" t="n">
        <v>0.065813</v>
      </c>
      <c r="D14" t="inlineStr">
        <is>
          <t>+38.6%</t>
        </is>
      </c>
    </row>
    <row r="15">
      <c r="A15" t="inlineStr">
        <is>
          <t>spectral_norm</t>
        </is>
      </c>
      <c r="B15" t="n">
        <v>0.08543100000000001</v>
      </c>
      <c r="C15" t="n">
        <v>0.141301</v>
      </c>
      <c r="D15" t="inlineStr">
        <is>
          <t>+39.5%</t>
        </is>
      </c>
    </row>
    <row r="16">
      <c r="A16" t="inlineStr">
        <is>
          <t>unpickle_pure_python</t>
        </is>
      </c>
      <c r="B16" t="n">
        <v>0.000191</v>
      </c>
      <c r="C16" t="n">
        <v>0.000331</v>
      </c>
      <c r="D16" t="inlineStr">
        <is>
          <t>+42.4%</t>
        </is>
      </c>
    </row>
    <row r="17">
      <c r="A17" t="inlineStr">
        <is>
          <t>GEOMETRIC MEAN</t>
        </is>
      </c>
      <c r="B17" t="n">
        <v>0.032112</v>
      </c>
      <c r="C17" t="n">
        <v>0.048782</v>
      </c>
      <c r="D17" t="inlineStr">
        <is>
          <t>+34.2%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7" customWidth="1" min="4" max="4"/>
  </cols>
  <sheetData>
    <row r="1">
      <c r="A1" s="1" t="inlineStr">
        <is>
          <t>Machine</t>
        </is>
      </c>
      <c r="B1" s="1" t="inlineStr">
        <is>
          <t>LLVM (s)</t>
        </is>
      </c>
      <c r="C1" s="1" t="inlineStr">
        <is>
          <t>MSVC (s)</t>
        </is>
      </c>
      <c r="D1" s="1" t="inlineStr">
        <is>
          <t>LLVM Advantage</t>
        </is>
      </c>
    </row>
    <row r="2">
      <c r="A2" t="inlineStr">
        <is>
          <t>Snapdragon 8cx Gen 3 (Volterra)</t>
        </is>
      </c>
      <c r="B2" t="n">
        <v>0.05937</v>
      </c>
      <c r="C2" t="n">
        <v>0.076072</v>
      </c>
      <c r="D2" t="inlineStr">
        <is>
          <t>+22.0%</t>
        </is>
      </c>
    </row>
    <row r="3">
      <c r="A3" t="inlineStr">
        <is>
          <t>Surface Laptop 15 (X Plus)</t>
        </is>
      </c>
      <c r="B3" t="n">
        <v>0.032112</v>
      </c>
      <c r="C3" t="n">
        <v>0.048782</v>
      </c>
      <c r="D3" t="inlineStr">
        <is>
          <t>+34.2%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29" customWidth="1" min="3" max="3"/>
  </cols>
  <sheetData>
    <row r="1">
      <c r="A1" s="1" t="inlineStr">
        <is>
          <t>Benchmark</t>
        </is>
      </c>
      <c r="B1" s="1" t="inlineStr">
        <is>
          <t>Snapdragon 8cx Gen 3 (Volterra)</t>
        </is>
      </c>
      <c r="C1" s="1" t="inlineStr">
        <is>
          <t>Surface Laptop 15 (X Plus)</t>
        </is>
      </c>
    </row>
    <row r="2">
      <c r="A2" t="inlineStr">
        <is>
          <t>LAME MP3</t>
        </is>
      </c>
      <c r="B2" t="n">
        <v>1.4</v>
      </c>
      <c r="C2" t="n">
        <v>1.43</v>
      </c>
    </row>
    <row r="3">
      <c r="A3" t="inlineStr">
        <is>
          <t>x264</t>
        </is>
      </c>
      <c r="B3" t="n">
        <v>1.3</v>
      </c>
      <c r="C3" t="n">
        <v>1.28</v>
      </c>
    </row>
    <row r="4">
      <c r="A4" t="inlineStr">
        <is>
          <t>NumPy (geo)</t>
        </is>
      </c>
      <c r="B4" t="n">
        <v>1.15</v>
      </c>
      <c r="C4" t="n">
        <v>1.76</v>
      </c>
    </row>
    <row r="5">
      <c r="A5" t="inlineStr">
        <is>
          <t>CPython (geo)</t>
        </is>
      </c>
      <c r="B5" t="n">
        <v>1.28</v>
      </c>
      <c r="C5" t="n">
        <v>1.52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2026-04-07T22:46:06Z</dcterms:created>
  <dcterms:modified xsi:type="dcterms:W3CDTF">2026-04-07T22:46:06Z</dcterms:modified>
</cp:coreProperties>
</file>